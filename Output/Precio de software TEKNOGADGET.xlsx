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ZIEL\OneDrive\Documents\FREELANCER\TecnogadgedWin7\Output\"/>
    </mc:Choice>
  </mc:AlternateContent>
  <xr:revisionPtr revIDLastSave="0" documentId="13_ncr:1_{A4631F5F-ACC6-4588-AE56-915F1CA2A346}" xr6:coauthVersionLast="47" xr6:coauthVersionMax="47" xr10:uidLastSave="{00000000-0000-0000-0000-000000000000}"/>
  <bookViews>
    <workbookView xWindow="4770" yWindow="555" windowWidth="21600" windowHeight="11295" xr2:uid="{48C9FD5F-70C1-44D7-83C9-0F804B9CE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7" i="1"/>
  <c r="F28" i="1"/>
  <c r="F29" i="1"/>
  <c r="D31" i="1"/>
  <c r="F26" i="1"/>
  <c r="F4" i="1"/>
  <c r="F31" i="1" l="1"/>
  <c r="I34" i="1" s="1"/>
</calcChain>
</file>

<file path=xl/sharedStrings.xml><?xml version="1.0" encoding="utf-8"?>
<sst xmlns="http://schemas.openxmlformats.org/spreadsheetml/2006/main" count="44" uniqueCount="44">
  <si>
    <t>Modulos</t>
  </si>
  <si>
    <t>Tareas</t>
  </si>
  <si>
    <t>Horas</t>
  </si>
  <si>
    <t>Precio</t>
  </si>
  <si>
    <t>Complejidad</t>
  </si>
  <si>
    <t>Autentificación</t>
  </si>
  <si>
    <t>Preventa</t>
  </si>
  <si>
    <t>Base de datos</t>
  </si>
  <si>
    <t>PROYECTO DE REGISTROS TEKNOGADGET</t>
  </si>
  <si>
    <t>TOTAL</t>
  </si>
  <si>
    <t>Por conocimiento</t>
  </si>
  <si>
    <t>Migrar la base de datos a MariaDB</t>
  </si>
  <si>
    <t>Elaborar la conexión  a la base de datos</t>
  </si>
  <si>
    <t>Formulario de registro de un nuevo cliente (Interfaz)</t>
  </si>
  <si>
    <t>Formulario de atención (Interfaz)</t>
  </si>
  <si>
    <t>Formulario de Reparación (Interfaz)</t>
  </si>
  <si>
    <t>Instalar los programas al cliente (Aplicación y base de datos)</t>
  </si>
  <si>
    <t>Salario base por hora</t>
  </si>
  <si>
    <t>Filtrado (Lógica)</t>
  </si>
  <si>
    <t>Eliminar (Lógica)</t>
  </si>
  <si>
    <t>Editar (Lógica)</t>
  </si>
  <si>
    <t>Crear (Lógica)</t>
  </si>
  <si>
    <t>Mostrar (Lógica e interfaz)</t>
  </si>
  <si>
    <t>Cerrar sesión</t>
  </si>
  <si>
    <t>Iniciar sesión</t>
  </si>
  <si>
    <t>Sección de configuración</t>
  </si>
  <si>
    <t>Ya pagado</t>
  </si>
  <si>
    <t>Restante</t>
  </si>
  <si>
    <t>Cambio de la estructura de la base de datos</t>
  </si>
  <si>
    <t>Filtrado de barra selectora (Interfaz)</t>
  </si>
  <si>
    <t>Funciónalidad de impresión (Lógica)</t>
  </si>
  <si>
    <t>CRUD de la sección de empleado</t>
  </si>
  <si>
    <t>Sección de cálculo de pago al empleado (Lógica)</t>
  </si>
  <si>
    <t>Mostrar tabla de reportes semanales</t>
  </si>
  <si>
    <t>Clientes</t>
  </si>
  <si>
    <t>Reportes</t>
  </si>
  <si>
    <t>Actualización de tabla de empleado con días de la semana</t>
  </si>
  <si>
    <t>Filtrado de reportes</t>
  </si>
  <si>
    <t>Backup de base de datos</t>
  </si>
  <si>
    <t>Implementación de comentarios y refacciones en la tabla y filtrado por fechas (Cambios en la BD)</t>
  </si>
  <si>
    <t>Nuevo diseño de la vista de empleados (Con detalles)</t>
  </si>
  <si>
    <t>Margen de error</t>
  </si>
  <si>
    <t>15/3/2025 pago 700</t>
  </si>
  <si>
    <t>Edición del registro de cliente, en estados "LABORATORIO" y "REPARADO"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</si>
</sst>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-[$$-80A]* #,##0.00_-;\-[$$-80A]* #,##0.00_-;_-[$$-80A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8" borderId="1" xfId="0" applyFont="1" applyFill="1" applyBorder="1"/>
    <xf numFmtId="0" fontId="0" fillId="11" borderId="1" xfId="0" applyFill="1" applyBorder="1"/>
    <xf numFmtId="164" fontId="0" fillId="3" borderId="1" xfId="1" applyFont="1" applyFill="1" applyBorder="1"/>
    <xf numFmtId="165" fontId="0" fillId="11" borderId="1" xfId="1" applyNumberFormat="1" applyFont="1" applyFill="1" applyBorder="1" applyAlignment="1">
      <alignment horizontal="center"/>
    </xf>
    <xf numFmtId="0" fontId="0" fillId="9" borderId="1" xfId="0" applyFill="1" applyBorder="1" applyAlignment="1">
      <alignment wrapText="1"/>
    </xf>
    <xf numFmtId="0" fontId="0" fillId="0" borderId="2" xfId="0" applyBorder="1"/>
    <xf numFmtId="0" fontId="0" fillId="12" borderId="3" xfId="0" applyFill="1" applyBorder="1"/>
    <xf numFmtId="0" fontId="0" fillId="13" borderId="1" xfId="0" applyFill="1" applyBorder="1"/>
    <xf numFmtId="165" fontId="0" fillId="13" borderId="1" xfId="0" applyNumberFormat="1" applyFill="1" applyBorder="1"/>
    <xf numFmtId="0" fontId="0" fillId="0" borderId="1" xfId="0" applyBorder="1"/>
    <xf numFmtId="0" fontId="0" fillId="14" borderId="1" xfId="0" applyFill="1" applyBorder="1"/>
    <xf numFmtId="0" fontId="3" fillId="0" borderId="0" xfId="0" applyFont="1"/>
    <xf numFmtId="15" fontId="0" fillId="0" borderId="0" xfId="0" applyNumberFormat="1"/>
    <xf numFmtId="0" fontId="0" fillId="7" borderId="1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1DA6-4F34-4E63-B58F-F2E67A00BE67}">
  <dimension ref="B2:L34"/>
  <sheetViews>
    <sheetView tabSelected="1" topLeftCell="A14" zoomScale="85" zoomScaleNormal="85" workbookViewId="0">
      <selection activeCell="D34" sqref="D34"/>
    </sheetView>
  </sheetViews>
  <sheetFormatPr baseColWidth="10" defaultColWidth="9.140625" defaultRowHeight="15" x14ac:dyDescent="0.25"/>
  <cols>
    <col min="2" max="2" width="21.42578125" customWidth="1"/>
    <col min="3" max="3" width="91.140625" customWidth="1"/>
    <col min="4" max="4" width="12" customWidth="1"/>
    <col min="5" max="5" width="21.5703125" customWidth="1"/>
    <col min="6" max="6" width="15.85546875" customWidth="1"/>
    <col min="8" max="8" width="12.28515625" customWidth="1"/>
    <col min="9" max="9" width="20.85546875" customWidth="1"/>
    <col min="10" max="10" width="16.85546875" customWidth="1"/>
    <col min="11" max="11" width="23.5703125" customWidth="1"/>
    <col min="12" max="12" width="20.7109375" customWidth="1"/>
    <col min="13" max="13" width="36.28515625" customWidth="1"/>
    <col min="14" max="14" width="17.7109375" customWidth="1"/>
  </cols>
  <sheetData>
    <row r="2" spans="2:11" x14ac:dyDescent="0.25">
      <c r="B2" s="21" t="s">
        <v>8</v>
      </c>
      <c r="C2" s="21"/>
      <c r="D2" s="21"/>
      <c r="E2" s="21"/>
      <c r="F2" s="21"/>
    </row>
    <row r="3" spans="2:11" x14ac:dyDescent="0.25">
      <c r="B3" s="1" t="s">
        <v>0</v>
      </c>
      <c r="C3" s="1" t="s">
        <v>1</v>
      </c>
      <c r="D3" s="1" t="s">
        <v>2</v>
      </c>
      <c r="E3" s="1" t="s">
        <v>4</v>
      </c>
      <c r="F3" s="1" t="s">
        <v>3</v>
      </c>
    </row>
    <row r="4" spans="2:11" x14ac:dyDescent="0.25">
      <c r="B4" s="2" t="s">
        <v>5</v>
      </c>
      <c r="C4" s="2" t="s">
        <v>24</v>
      </c>
      <c r="D4" s="2">
        <v>2</v>
      </c>
      <c r="E4" s="2"/>
      <c r="F4" s="10">
        <f>D4*$I$6</f>
        <v>148</v>
      </c>
    </row>
    <row r="5" spans="2:11" x14ac:dyDescent="0.25">
      <c r="B5" s="2"/>
      <c r="C5" s="2" t="s">
        <v>23</v>
      </c>
      <c r="D5" s="2">
        <v>1</v>
      </c>
      <c r="E5" s="2"/>
      <c r="F5" s="10">
        <f t="shared" ref="F5:F23" si="0">D5*$I$6</f>
        <v>74</v>
      </c>
    </row>
    <row r="6" spans="2:11" ht="30" x14ac:dyDescent="0.25">
      <c r="B6" s="2"/>
      <c r="C6" s="2" t="s">
        <v>25</v>
      </c>
      <c r="D6" s="2">
        <v>2</v>
      </c>
      <c r="E6" s="2"/>
      <c r="F6" s="10">
        <f t="shared" si="0"/>
        <v>148</v>
      </c>
      <c r="H6" s="12" t="s">
        <v>17</v>
      </c>
      <c r="I6" s="7">
        <v>74</v>
      </c>
    </row>
    <row r="7" spans="2:11" x14ac:dyDescent="0.25">
      <c r="B7" s="3" t="s">
        <v>34</v>
      </c>
      <c r="C7" s="3" t="s">
        <v>22</v>
      </c>
      <c r="D7" s="2">
        <v>4</v>
      </c>
      <c r="E7" s="3"/>
      <c r="F7" s="10">
        <f t="shared" si="0"/>
        <v>296</v>
      </c>
    </row>
    <row r="8" spans="2:11" x14ac:dyDescent="0.25">
      <c r="B8" s="3"/>
      <c r="C8" s="3" t="s">
        <v>21</v>
      </c>
      <c r="D8" s="2">
        <v>3</v>
      </c>
      <c r="E8" s="3"/>
      <c r="F8" s="10">
        <f t="shared" si="0"/>
        <v>222</v>
      </c>
    </row>
    <row r="9" spans="2:11" x14ac:dyDescent="0.25">
      <c r="B9" s="3"/>
      <c r="C9" s="3" t="s">
        <v>20</v>
      </c>
      <c r="D9" s="2">
        <v>4</v>
      </c>
      <c r="E9" s="3"/>
      <c r="F9" s="10">
        <f t="shared" si="0"/>
        <v>296</v>
      </c>
    </row>
    <row r="10" spans="2:11" x14ac:dyDescent="0.25">
      <c r="B10" s="3"/>
      <c r="C10" s="3" t="s">
        <v>19</v>
      </c>
      <c r="D10" s="2">
        <v>1</v>
      </c>
      <c r="E10" s="3"/>
      <c r="F10" s="10">
        <f t="shared" si="0"/>
        <v>74</v>
      </c>
    </row>
    <row r="11" spans="2:11" x14ac:dyDescent="0.25">
      <c r="B11" s="3"/>
      <c r="C11" s="3" t="s">
        <v>18</v>
      </c>
      <c r="D11" s="2">
        <v>8</v>
      </c>
      <c r="E11" s="3"/>
      <c r="F11" s="10">
        <f t="shared" si="0"/>
        <v>592</v>
      </c>
    </row>
    <row r="12" spans="2:11" x14ac:dyDescent="0.25">
      <c r="B12" s="3"/>
      <c r="C12" s="3" t="s">
        <v>29</v>
      </c>
      <c r="D12" s="2">
        <v>8</v>
      </c>
      <c r="E12" s="3"/>
      <c r="F12" s="10">
        <f t="shared" si="0"/>
        <v>592</v>
      </c>
    </row>
    <row r="13" spans="2:11" x14ac:dyDescent="0.25">
      <c r="B13" s="3"/>
      <c r="C13" s="3" t="s">
        <v>13</v>
      </c>
      <c r="D13" s="2">
        <v>4</v>
      </c>
      <c r="E13" s="3"/>
      <c r="F13" s="10">
        <f t="shared" si="0"/>
        <v>296</v>
      </c>
    </row>
    <row r="14" spans="2:11" ht="19.5" customHeight="1" x14ac:dyDescent="0.25">
      <c r="B14" s="3"/>
      <c r="C14" s="3" t="s">
        <v>14</v>
      </c>
      <c r="D14" s="2">
        <v>1</v>
      </c>
      <c r="E14" s="3"/>
      <c r="F14" s="10">
        <f t="shared" si="0"/>
        <v>74</v>
      </c>
    </row>
    <row r="15" spans="2:11" x14ac:dyDescent="0.25">
      <c r="B15" s="3"/>
      <c r="C15" s="3" t="s">
        <v>15</v>
      </c>
      <c r="D15" s="2">
        <v>6</v>
      </c>
      <c r="E15" s="3"/>
      <c r="F15" s="10">
        <f t="shared" si="0"/>
        <v>444</v>
      </c>
    </row>
    <row r="16" spans="2:11" x14ac:dyDescent="0.25">
      <c r="B16" s="3"/>
      <c r="C16" s="3" t="s">
        <v>30</v>
      </c>
      <c r="D16" s="2">
        <v>4</v>
      </c>
      <c r="E16" s="3"/>
      <c r="F16" s="10">
        <f t="shared" si="0"/>
        <v>296</v>
      </c>
      <c r="K16" s="20" t="s">
        <v>42</v>
      </c>
    </row>
    <row r="17" spans="2:12" x14ac:dyDescent="0.25">
      <c r="B17" s="3" t="s">
        <v>35</v>
      </c>
      <c r="C17" s="3" t="s">
        <v>32</v>
      </c>
      <c r="D17" s="2">
        <v>4</v>
      </c>
      <c r="E17" s="3"/>
      <c r="F17" s="10">
        <f t="shared" si="0"/>
        <v>296</v>
      </c>
    </row>
    <row r="18" spans="2:12" x14ac:dyDescent="0.25">
      <c r="B18" s="3"/>
      <c r="C18" s="3" t="s">
        <v>31</v>
      </c>
      <c r="D18" s="2">
        <v>8</v>
      </c>
      <c r="E18" s="3"/>
      <c r="F18" s="10">
        <f t="shared" si="0"/>
        <v>592</v>
      </c>
    </row>
    <row r="19" spans="2:12" x14ac:dyDescent="0.25">
      <c r="B19" s="3"/>
      <c r="C19" s="3" t="s">
        <v>33</v>
      </c>
      <c r="D19" s="2">
        <v>6</v>
      </c>
      <c r="E19" s="3"/>
      <c r="F19" s="10">
        <f t="shared" si="0"/>
        <v>444</v>
      </c>
    </row>
    <row r="20" spans="2:12" x14ac:dyDescent="0.25">
      <c r="B20" s="3"/>
      <c r="C20" s="3" t="s">
        <v>36</v>
      </c>
      <c r="D20" s="2">
        <v>8</v>
      </c>
      <c r="E20" s="3"/>
      <c r="F20" s="10">
        <f t="shared" si="0"/>
        <v>592</v>
      </c>
    </row>
    <row r="21" spans="2:12" x14ac:dyDescent="0.25">
      <c r="B21" s="3"/>
      <c r="C21" s="3" t="s">
        <v>37</v>
      </c>
      <c r="D21" s="2">
        <v>4</v>
      </c>
      <c r="E21" s="3"/>
      <c r="F21" s="10">
        <f t="shared" si="0"/>
        <v>296</v>
      </c>
    </row>
    <row r="22" spans="2:12" x14ac:dyDescent="0.25">
      <c r="B22" s="3"/>
      <c r="C22" s="3" t="s">
        <v>38</v>
      </c>
      <c r="D22" s="2">
        <v>2</v>
      </c>
      <c r="E22" s="3"/>
      <c r="F22" s="10">
        <f t="shared" si="0"/>
        <v>148</v>
      </c>
    </row>
    <row r="23" spans="2:12" x14ac:dyDescent="0.25">
      <c r="B23" s="3"/>
      <c r="C23" s="3" t="s">
        <v>39</v>
      </c>
      <c r="D23" s="2">
        <v>7</v>
      </c>
      <c r="E23" s="3"/>
      <c r="F23" s="10">
        <f t="shared" si="0"/>
        <v>518</v>
      </c>
    </row>
    <row r="24" spans="2:12" x14ac:dyDescent="0.25">
      <c r="B24" s="3"/>
      <c r="C24" s="3" t="s">
        <v>40</v>
      </c>
      <c r="D24" s="2">
        <v>10</v>
      </c>
      <c r="E24" s="3"/>
      <c r="F24" s="10">
        <f>D24*$I$6</f>
        <v>740</v>
      </c>
    </row>
    <row r="25" spans="2:12" x14ac:dyDescent="0.25">
      <c r="B25" s="3"/>
      <c r="C25" s="3" t="s">
        <v>43</v>
      </c>
      <c r="D25" s="2">
        <v>4</v>
      </c>
      <c r="E25" s="3"/>
      <c r="F25" s="10">
        <f>D25*$I$6</f>
        <v>296</v>
      </c>
    </row>
    <row r="26" spans="2:12" x14ac:dyDescent="0.25">
      <c r="B26" s="4" t="s">
        <v>6</v>
      </c>
      <c r="C26" s="4" t="s">
        <v>16</v>
      </c>
      <c r="D26" s="2">
        <v>3</v>
      </c>
      <c r="E26" s="4"/>
      <c r="F26" s="10">
        <f>D26*$I$6</f>
        <v>222</v>
      </c>
    </row>
    <row r="27" spans="2:12" x14ac:dyDescent="0.25">
      <c r="B27" s="5" t="s">
        <v>7</v>
      </c>
      <c r="C27" s="5" t="s">
        <v>11</v>
      </c>
      <c r="D27" s="2">
        <v>2</v>
      </c>
      <c r="E27" s="5"/>
      <c r="F27" s="10">
        <f>D27*$I$6</f>
        <v>148</v>
      </c>
    </row>
    <row r="28" spans="2:12" x14ac:dyDescent="0.25">
      <c r="B28" s="5"/>
      <c r="C28" s="5" t="s">
        <v>12</v>
      </c>
      <c r="D28" s="2">
        <v>2</v>
      </c>
      <c r="E28" s="5"/>
      <c r="F28" s="10">
        <f>D28*$I$6</f>
        <v>148</v>
      </c>
    </row>
    <row r="29" spans="2:12" ht="15.75" thickBot="1" x14ac:dyDescent="0.3">
      <c r="B29" s="8"/>
      <c r="C29" s="8" t="s">
        <v>28</v>
      </c>
      <c r="D29" s="2">
        <v>5</v>
      </c>
      <c r="E29" s="8"/>
      <c r="F29" s="10">
        <f>D29*$I$6</f>
        <v>370</v>
      </c>
      <c r="K29" s="19"/>
    </row>
    <row r="30" spans="2:12" ht="15.75" thickBot="1" x14ac:dyDescent="0.3">
      <c r="B30" s="6" t="s">
        <v>10</v>
      </c>
      <c r="C30" s="6"/>
      <c r="D30" s="6"/>
      <c r="E30" s="6"/>
      <c r="F30" s="10">
        <v>2000</v>
      </c>
      <c r="H30" s="13" t="s">
        <v>26</v>
      </c>
      <c r="I30" s="14">
        <v>8800</v>
      </c>
      <c r="K30" s="17" t="s">
        <v>41</v>
      </c>
      <c r="L30" s="18">
        <v>500</v>
      </c>
    </row>
    <row r="31" spans="2:12" x14ac:dyDescent="0.25">
      <c r="B31" s="9" t="s">
        <v>9</v>
      </c>
      <c r="C31" s="9"/>
      <c r="D31" s="9">
        <f>SUM(D4:D29)</f>
        <v>113</v>
      </c>
      <c r="E31" s="9"/>
      <c r="F31" s="11">
        <f>SUM(F4:F30)</f>
        <v>10362</v>
      </c>
    </row>
    <row r="34" spans="8:9" x14ac:dyDescent="0.25">
      <c r="H34" s="15" t="s">
        <v>27</v>
      </c>
      <c r="I34" s="16">
        <f>F31-I30-L30</f>
        <v>1062</v>
      </c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TZAB PUC UZIEL ALEJANDRO</dc:creator>
  <cp:lastModifiedBy>TZAB PUC UZIEL ALEJANDRO</cp:lastModifiedBy>
  <dcterms:created xsi:type="dcterms:W3CDTF">2024-04-01T18:47:44Z</dcterms:created>
  <dcterms:modified xsi:type="dcterms:W3CDTF">2025-04-05T03:49:05Z</dcterms:modified>
</cp:coreProperties>
</file>